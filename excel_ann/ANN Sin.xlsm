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ANN Pic" sheetId="2" r:id="rId2"/>
    <sheet name="Sheet3" sheetId="3" r:id="rId3"/>
  </sheets>
  <functionGroups builtInGroupCount="17"/>
  <definedNames>
    <definedName name="solver_adj" localSheetId="0" hidden="1">Sheet1!$S$7:$U$7,Sheet1!$S$10:$U$10,Sheet1!$S$13:$T$13,Sheet1!$S$16:$U$16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Sheet1!$K$1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K1" i="1" l="1"/>
  <c r="B75" i="1" l="1"/>
  <c r="I75" i="1" s="1"/>
  <c r="B76" i="1"/>
  <c r="I76" i="1" s="1"/>
  <c r="B77" i="1"/>
  <c r="I77" i="1" s="1"/>
  <c r="B78" i="1"/>
  <c r="I78" i="1" s="1"/>
  <c r="C78" i="1"/>
  <c r="B79" i="1"/>
  <c r="I79" i="1" s="1"/>
  <c r="C79" i="1"/>
  <c r="B80" i="1"/>
  <c r="I80" i="1" s="1"/>
  <c r="B81" i="1"/>
  <c r="I81" i="1" s="1"/>
  <c r="B82" i="1"/>
  <c r="I82" i="1" s="1"/>
  <c r="C82" i="1"/>
  <c r="B83" i="1"/>
  <c r="I83" i="1" s="1"/>
  <c r="C83" i="1"/>
  <c r="B48" i="1"/>
  <c r="C48" i="1" s="1"/>
  <c r="I48" i="1"/>
  <c r="B49" i="1"/>
  <c r="C49" i="1"/>
  <c r="I49" i="1"/>
  <c r="B50" i="1"/>
  <c r="I50" i="1" s="1"/>
  <c r="C50" i="1"/>
  <c r="B51" i="1"/>
  <c r="C51" i="1"/>
  <c r="I51" i="1"/>
  <c r="B52" i="1"/>
  <c r="I52" i="1" s="1"/>
  <c r="C52" i="1"/>
  <c r="B53" i="1"/>
  <c r="B54" i="1"/>
  <c r="C54" i="1"/>
  <c r="I54" i="1"/>
  <c r="B55" i="1"/>
  <c r="C55" i="1" s="1"/>
  <c r="B56" i="1"/>
  <c r="C56" i="1" s="1"/>
  <c r="I56" i="1"/>
  <c r="B57" i="1"/>
  <c r="C57" i="1"/>
  <c r="I57" i="1"/>
  <c r="B58" i="1"/>
  <c r="I58" i="1" s="1"/>
  <c r="C58" i="1"/>
  <c r="B59" i="1"/>
  <c r="C59" i="1"/>
  <c r="I59" i="1"/>
  <c r="B60" i="1"/>
  <c r="I60" i="1" s="1"/>
  <c r="C60" i="1"/>
  <c r="B61" i="1"/>
  <c r="C61" i="1" s="1"/>
  <c r="B62" i="1"/>
  <c r="C62" i="1"/>
  <c r="I62" i="1"/>
  <c r="B63" i="1"/>
  <c r="C63" i="1" s="1"/>
  <c r="B64" i="1"/>
  <c r="C64" i="1" s="1"/>
  <c r="I64" i="1"/>
  <c r="B65" i="1"/>
  <c r="C65" i="1"/>
  <c r="I65" i="1"/>
  <c r="B66" i="1"/>
  <c r="I66" i="1" s="1"/>
  <c r="C66" i="1"/>
  <c r="B67" i="1"/>
  <c r="C67" i="1"/>
  <c r="I67" i="1"/>
  <c r="B68" i="1"/>
  <c r="I68" i="1" s="1"/>
  <c r="C68" i="1"/>
  <c r="B69" i="1"/>
  <c r="C69" i="1" s="1"/>
  <c r="B70" i="1"/>
  <c r="C70" i="1"/>
  <c r="I70" i="1"/>
  <c r="B71" i="1"/>
  <c r="C71" i="1" s="1"/>
  <c r="B72" i="1"/>
  <c r="C72" i="1" s="1"/>
  <c r="I72" i="1"/>
  <c r="B73" i="1"/>
  <c r="C73" i="1"/>
  <c r="I73" i="1"/>
  <c r="B74" i="1"/>
  <c r="I74" i="1" s="1"/>
  <c r="C74" i="1"/>
  <c r="B47" i="1"/>
  <c r="I47" i="1" s="1"/>
  <c r="E79" i="1"/>
  <c r="D49" i="1"/>
  <c r="E48" i="1"/>
  <c r="E67" i="1"/>
  <c r="E83" i="1"/>
  <c r="E58" i="1"/>
  <c r="E57" i="1"/>
  <c r="D50" i="1"/>
  <c r="D58" i="1"/>
  <c r="D66" i="1"/>
  <c r="E51" i="1"/>
  <c r="E70" i="1"/>
  <c r="E61" i="1"/>
  <c r="E50" i="1"/>
  <c r="D64" i="1"/>
  <c r="E76" i="1"/>
  <c r="D75" i="1"/>
  <c r="E62" i="1"/>
  <c r="D51" i="1"/>
  <c r="D59" i="1"/>
  <c r="D67" i="1"/>
  <c r="E47" i="1"/>
  <c r="E80" i="1"/>
  <c r="D54" i="1"/>
  <c r="E59" i="1"/>
  <c r="E78" i="1"/>
  <c r="E81" i="1"/>
  <c r="D56" i="1"/>
  <c r="D80" i="1"/>
  <c r="D70" i="1"/>
  <c r="E54" i="1"/>
  <c r="E74" i="1"/>
  <c r="D81" i="1"/>
  <c r="E69" i="1"/>
  <c r="D72" i="1"/>
  <c r="D68" i="1"/>
  <c r="E73" i="1"/>
  <c r="E75" i="1"/>
  <c r="D48" i="1"/>
  <c r="E64" i="1"/>
  <c r="D76" i="1"/>
  <c r="D77" i="1"/>
  <c r="E77" i="1"/>
  <c r="E66" i="1"/>
  <c r="E56" i="1"/>
  <c r="D79" i="1"/>
  <c r="E72" i="1"/>
  <c r="D62" i="1"/>
  <c r="D83" i="1"/>
  <c r="D69" i="1"/>
  <c r="D73" i="1"/>
  <c r="E49" i="1"/>
  <c r="D74" i="1"/>
  <c r="D57" i="1"/>
  <c r="E53" i="1"/>
  <c r="D65" i="1"/>
  <c r="C81" i="1" l="1"/>
  <c r="C77" i="1"/>
  <c r="I69" i="1"/>
  <c r="I61" i="1"/>
  <c r="I53" i="1"/>
  <c r="C80" i="1"/>
  <c r="C76" i="1"/>
  <c r="C53" i="1"/>
  <c r="C75" i="1"/>
  <c r="I71" i="1"/>
  <c r="I63" i="1"/>
  <c r="I55" i="1"/>
  <c r="C47" i="1"/>
  <c r="B46" i="1"/>
  <c r="I46" i="1" s="1"/>
  <c r="E63" i="1"/>
  <c r="D63" i="1"/>
  <c r="F79" i="1"/>
  <c r="F80" i="1"/>
  <c r="G75" i="1"/>
  <c r="F57" i="1"/>
  <c r="G70" i="1"/>
  <c r="F65" i="1"/>
  <c r="G66" i="1"/>
  <c r="G59" i="1"/>
  <c r="D47" i="1"/>
  <c r="G79" i="1"/>
  <c r="F68" i="1"/>
  <c r="E65" i="1"/>
  <c r="E71" i="1"/>
  <c r="F81" i="1"/>
  <c r="G74" i="1"/>
  <c r="G53" i="1"/>
  <c r="G51" i="1"/>
  <c r="F49" i="1"/>
  <c r="G61" i="1"/>
  <c r="F72" i="1"/>
  <c r="E55" i="1"/>
  <c r="F59" i="1"/>
  <c r="F58" i="1"/>
  <c r="D71" i="1"/>
  <c r="F83" i="1"/>
  <c r="F51" i="1"/>
  <c r="F50" i="1"/>
  <c r="D82" i="1"/>
  <c r="F75" i="1"/>
  <c r="D61" i="1"/>
  <c r="E82" i="1"/>
  <c r="E52" i="1"/>
  <c r="G83" i="1"/>
  <c r="G76" i="1"/>
  <c r="G54" i="1"/>
  <c r="F67" i="1"/>
  <c r="G64" i="1"/>
  <c r="F66" i="1"/>
  <c r="F73" i="1"/>
  <c r="F62" i="1"/>
  <c r="E68" i="1"/>
  <c r="E60" i="1"/>
  <c r="F70" i="1"/>
  <c r="F64" i="1"/>
  <c r="F74" i="1"/>
  <c r="F54" i="1"/>
  <c r="D78" i="1"/>
  <c r="G49" i="1"/>
  <c r="F56" i="1"/>
  <c r="G69" i="1"/>
  <c r="G80" i="1"/>
  <c r="G48" i="1"/>
  <c r="G47" i="1"/>
  <c r="D53" i="1"/>
  <c r="G77" i="1"/>
  <c r="G81" i="1"/>
  <c r="G72" i="1"/>
  <c r="G57" i="1"/>
  <c r="F48" i="1"/>
  <c r="G73" i="1"/>
  <c r="G56" i="1"/>
  <c r="D60" i="1"/>
  <c r="D55" i="1"/>
  <c r="F77" i="1"/>
  <c r="G78" i="1"/>
  <c r="G62" i="1"/>
  <c r="G58" i="1"/>
  <c r="G50" i="1"/>
  <c r="F69" i="1"/>
  <c r="D52" i="1"/>
  <c r="F76" i="1"/>
  <c r="G67" i="1"/>
  <c r="H75" i="1" l="1"/>
  <c r="H80" i="1"/>
  <c r="H76" i="1"/>
  <c r="H77" i="1"/>
  <c r="H83" i="1"/>
  <c r="H81" i="1"/>
  <c r="H79" i="1"/>
  <c r="H54" i="1"/>
  <c r="H62" i="1"/>
  <c r="H72" i="1"/>
  <c r="H69" i="1"/>
  <c r="H73" i="1"/>
  <c r="H48" i="1"/>
  <c r="H56" i="1"/>
  <c r="H74" i="1"/>
  <c r="H49" i="1"/>
  <c r="H50" i="1"/>
  <c r="H58" i="1"/>
  <c r="H66" i="1"/>
  <c r="H64" i="1"/>
  <c r="H57" i="1"/>
  <c r="H51" i="1"/>
  <c r="H59" i="1"/>
  <c r="H67" i="1"/>
  <c r="H70" i="1"/>
  <c r="C46" i="1"/>
  <c r="B3" i="1"/>
  <c r="C3" i="1" s="1"/>
  <c r="B4" i="1"/>
  <c r="C4" i="1" s="1"/>
  <c r="B5" i="1"/>
  <c r="B6" i="1"/>
  <c r="B2" i="1"/>
  <c r="C5" i="1"/>
  <c r="C6" i="1"/>
  <c r="C2" i="1"/>
  <c r="D2" i="1"/>
  <c r="E6" i="1"/>
  <c r="E5" i="1"/>
  <c r="E2" i="1"/>
  <c r="E4" i="1"/>
  <c r="D3" i="1"/>
  <c r="D5" i="1"/>
  <c r="D4" i="1"/>
  <c r="D6" i="1"/>
  <c r="E3" i="1"/>
  <c r="G3" i="1"/>
  <c r="G6" i="1"/>
  <c r="F6" i="1"/>
  <c r="F2" i="1"/>
  <c r="F4" i="1"/>
  <c r="F5" i="1"/>
  <c r="F3" i="1"/>
  <c r="G4" i="1"/>
  <c r="G2" i="1"/>
  <c r="G5" i="1"/>
  <c r="F52" i="1"/>
  <c r="G82" i="1"/>
  <c r="G63" i="1"/>
  <c r="F55" i="1"/>
  <c r="F61" i="1"/>
  <c r="D46" i="1"/>
  <c r="E46" i="1"/>
  <c r="F53" i="1"/>
  <c r="G55" i="1"/>
  <c r="G52" i="1"/>
  <c r="F60" i="1"/>
  <c r="F82" i="1"/>
  <c r="F71" i="1"/>
  <c r="F78" i="1"/>
  <c r="G65" i="1"/>
  <c r="F63" i="1"/>
  <c r="G60" i="1"/>
  <c r="G71" i="1"/>
  <c r="G68" i="1"/>
  <c r="F47" i="1"/>
  <c r="H68" i="1" l="1"/>
  <c r="H63" i="1"/>
  <c r="H65" i="1"/>
  <c r="H78" i="1"/>
  <c r="H71" i="1"/>
  <c r="H82" i="1"/>
  <c r="H60" i="1"/>
  <c r="H53" i="1"/>
  <c r="H61" i="1"/>
  <c r="H55" i="1"/>
  <c r="H52" i="1"/>
  <c r="H47" i="1"/>
  <c r="H3" i="1"/>
  <c r="H5" i="1"/>
  <c r="H4" i="1"/>
  <c r="H2" i="1"/>
  <c r="H6" i="1"/>
  <c r="G46" i="1"/>
  <c r="F46" i="1"/>
  <c r="H46" i="1" l="1"/>
</calcChain>
</file>

<file path=xl/sharedStrings.xml><?xml version="1.0" encoding="utf-8"?>
<sst xmlns="http://schemas.openxmlformats.org/spreadsheetml/2006/main" count="22" uniqueCount="21">
  <si>
    <t>Input Angle</t>
  </si>
  <si>
    <t>Expected output</t>
  </si>
  <si>
    <t>w1</t>
  </si>
  <si>
    <t>w2</t>
  </si>
  <si>
    <t>b1</t>
  </si>
  <si>
    <t>w3</t>
  </si>
  <si>
    <t>w4</t>
  </si>
  <si>
    <t>b2</t>
  </si>
  <si>
    <t>w5</t>
  </si>
  <si>
    <t>w6</t>
  </si>
  <si>
    <t>w7</t>
  </si>
  <si>
    <t>w8</t>
  </si>
  <si>
    <t>b3</t>
  </si>
  <si>
    <t>Sigmoid</t>
  </si>
  <si>
    <t>n1h1</t>
  </si>
  <si>
    <t>Radians</t>
  </si>
  <si>
    <t>n2h1</t>
  </si>
  <si>
    <t>n1h2</t>
  </si>
  <si>
    <t>n2h2</t>
  </si>
  <si>
    <t>output</t>
  </si>
  <si>
    <t>linear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</si>
</sst>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00"/>
    <numFmt numFmtId="165" formatCode="0.00000000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quotePrefix="1"/>
    <xf numFmtId="164" fontId="0" fillId="0" borderId="1" xfId="0" applyNumberFormat="1" applyBorder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ANN</c:v>
          </c:tx>
          <c:marker>
            <c:symbol val="none"/>
          </c:marker>
          <c:val>
            <c:numRef>
              <c:f>Sheet1!$H$46:$H$83</c:f>
              <c:numCache>
                <c:formatCode>General</c:formatCode>
                <c:ptCount val="38"/>
                <c:pt idx="0">
                  <c:v>7.4116029757817892E-2</c:v>
                </c:pt>
                <c:pt idx="1">
                  <c:v>0.1055924205456929</c:v>
                </c:pt>
                <c:pt idx="2">
                  <c:v>0.13801317315329648</c:v>
                </c:pt>
                <c:pt idx="3">
                  <c:v>0.17125089077028849</c:v>
                </c:pt>
                <c:pt idx="4">
                  <c:v>0.20516386462842923</c:v>
                </c:pt>
                <c:pt idx="5">
                  <c:v>0.23959841578685132</c:v>
                </c:pt>
                <c:pt idx="6">
                  <c:v>0.27439170190634105</c:v>
                </c:pt>
                <c:pt idx="7">
                  <c:v>0.30937488365499749</c:v>
                </c:pt>
                <c:pt idx="8">
                  <c:v>0.34437652079708941</c:v>
                </c:pt>
                <c:pt idx="9">
                  <c:v>0.37922605241820401</c:v>
                </c:pt>
                <c:pt idx="10">
                  <c:v>0.41375721077146616</c:v>
                </c:pt>
                <c:pt idx="11">
                  <c:v>0.44781122435682469</c:v>
                </c:pt>
                <c:pt idx="12">
                  <c:v>0.48123968229648434</c:v>
                </c:pt>
                <c:pt idx="13">
                  <c:v>0.51390695696635147</c:v>
                </c:pt>
                <c:pt idx="14">
                  <c:v>0.545692112495334</c:v>
                </c:pt>
                <c:pt idx="15">
                  <c:v>0.57649026004793003</c:v>
                </c:pt>
                <c:pt idx="16">
                  <c:v>0.60621335366930862</c:v>
                </c:pt>
                <c:pt idx="17">
                  <c:v>0.63479045019532854</c:v>
                </c:pt>
                <c:pt idx="18">
                  <c:v>0.66216748127610692</c:v>
                </c:pt>
                <c:pt idx="19">
                  <c:v>0.68830660369893448</c:v>
                </c:pt>
                <c:pt idx="20">
                  <c:v>0.71318520550512421</c:v>
                </c:pt>
                <c:pt idx="21">
                  <c:v>0.73679465016726087</c:v>
                </c:pt>
                <c:pt idx="22">
                  <c:v>0.75913884015869804</c:v>
                </c:pt>
                <c:pt idx="23">
                  <c:v>0.7802326757727438</c:v>
                </c:pt>
                <c:pt idx="24">
                  <c:v>0.80010047634192771</c:v>
                </c:pt>
                <c:pt idx="25">
                  <c:v>0.81877442035110715</c:v>
                </c:pt>
                <c:pt idx="26">
                  <c:v>0.83629304947160743</c:v>
                </c:pt>
                <c:pt idx="27">
                  <c:v>0.85269987019271398</c:v>
                </c:pt>
                <c:pt idx="28">
                  <c:v>0.86804207617495499</c:v>
                </c:pt>
                <c:pt idx="29">
                  <c:v>0.88236940514367723</c:v>
                </c:pt>
                <c:pt idx="30">
                  <c:v>0.89573313631997009</c:v>
                </c:pt>
                <c:pt idx="31">
                  <c:v>0.90818522811931501</c:v>
                </c:pt>
                <c:pt idx="32">
                  <c:v>0.91977759108232271</c:v>
                </c:pt>
                <c:pt idx="33">
                  <c:v>0.930561487599465</c:v>
                </c:pt>
                <c:pt idx="34">
                  <c:v>0.94058704776832092</c:v>
                </c:pt>
                <c:pt idx="35">
                  <c:v>0.94990288947390233</c:v>
                </c:pt>
                <c:pt idx="36">
                  <c:v>0.95855583030758518</c:v>
                </c:pt>
                <c:pt idx="37">
                  <c:v>0.96659067905052654</c:v>
                </c:pt>
              </c:numCache>
            </c:numRef>
          </c:val>
          <c:smooth val="0"/>
        </c:ser>
        <c:ser>
          <c:idx val="1"/>
          <c:order val="1"/>
          <c:tx>
            <c:v>SIN</c:v>
          </c:tx>
          <c:marker>
            <c:symbol val="none"/>
          </c:marker>
          <c:val>
            <c:numRef>
              <c:f>Sheet1!$I$46:$I$83</c:f>
              <c:numCache>
                <c:formatCode>General</c:formatCode>
                <c:ptCount val="38"/>
                <c:pt idx="0">
                  <c:v>8.7155742747658166E-2</c:v>
                </c:pt>
                <c:pt idx="1">
                  <c:v>0.12186934340514748</c:v>
                </c:pt>
                <c:pt idx="2">
                  <c:v>0.15643446504023087</c:v>
                </c:pt>
                <c:pt idx="3">
                  <c:v>0.1908089953765448</c:v>
                </c:pt>
                <c:pt idx="4">
                  <c:v>0.224951054343865</c:v>
                </c:pt>
                <c:pt idx="5">
                  <c:v>0.25881904510252074</c:v>
                </c:pt>
                <c:pt idx="6">
                  <c:v>0.29237170472273677</c:v>
                </c:pt>
                <c:pt idx="7">
                  <c:v>0.3255681544571567</c:v>
                </c:pt>
                <c:pt idx="8">
                  <c:v>0.35836794954530027</c:v>
                </c:pt>
                <c:pt idx="9">
                  <c:v>0.39073112848927377</c:v>
                </c:pt>
                <c:pt idx="10">
                  <c:v>0.42261826174069944</c:v>
                </c:pt>
                <c:pt idx="11">
                  <c:v>0.45399049973954675</c:v>
                </c:pt>
                <c:pt idx="12">
                  <c:v>0.48480962024633706</c:v>
                </c:pt>
                <c:pt idx="13">
                  <c:v>0.51503807491005416</c:v>
                </c:pt>
                <c:pt idx="14">
                  <c:v>0.54463903501502708</c:v>
                </c:pt>
                <c:pt idx="15">
                  <c:v>0.57357643635104605</c:v>
                </c:pt>
                <c:pt idx="16">
                  <c:v>0.60181502315204827</c:v>
                </c:pt>
                <c:pt idx="17">
                  <c:v>0.62932039104983739</c:v>
                </c:pt>
                <c:pt idx="18">
                  <c:v>0.65605902899050728</c:v>
                </c:pt>
                <c:pt idx="19">
                  <c:v>0.68199836006249848</c:v>
                </c:pt>
                <c:pt idx="20">
                  <c:v>0.70710678118654746</c:v>
                </c:pt>
                <c:pt idx="21">
                  <c:v>0.73135370161917046</c:v>
                </c:pt>
                <c:pt idx="22">
                  <c:v>0.75470958022277201</c:v>
                </c:pt>
                <c:pt idx="23">
                  <c:v>0.7771459614569709</c:v>
                </c:pt>
                <c:pt idx="24">
                  <c:v>0.79863551004729283</c:v>
                </c:pt>
                <c:pt idx="25">
                  <c:v>0.8191520442889918</c:v>
                </c:pt>
                <c:pt idx="26">
                  <c:v>0.83867056794542405</c:v>
                </c:pt>
                <c:pt idx="27">
                  <c:v>0.85716730070211233</c:v>
                </c:pt>
                <c:pt idx="28">
                  <c:v>0.87461970713939574</c:v>
                </c:pt>
                <c:pt idx="29">
                  <c:v>0.89100652418836779</c:v>
                </c:pt>
                <c:pt idx="30">
                  <c:v>0.90630778703664994</c:v>
                </c:pt>
                <c:pt idx="31">
                  <c:v>0.92050485345244037</c:v>
                </c:pt>
                <c:pt idx="32">
                  <c:v>0.93358042649720174</c:v>
                </c:pt>
                <c:pt idx="33">
                  <c:v>0.94551857559931674</c:v>
                </c:pt>
                <c:pt idx="34">
                  <c:v>0.95630475596303544</c:v>
                </c:pt>
                <c:pt idx="35">
                  <c:v>0.96592582628906831</c:v>
                </c:pt>
                <c:pt idx="36">
                  <c:v>0.97437006478523525</c:v>
                </c:pt>
                <c:pt idx="37">
                  <c:v>0.98162718344766398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048832"/>
        <c:axId val="247083392"/>
      </c:lineChart>
      <c:catAx>
        <c:axId val="247048832"/>
        <c:scaling>
          <c:orientation val="minMax"/>
        </c:scaling>
        <c:delete val="0"/>
        <c:axPos val="b"/>
        <c:majorTickMark val="out"/>
        <c:minorTickMark val="none"/>
        <c:tickLblPos val="nextTo"/>
        <c:crossAx val="247083392"/>
        <c:crosses val="autoZero"/>
        <c:auto val="1"/>
        <c:lblAlgn val="ctr"/>
        <c:lblOffset val="100"/>
        <c:noMultiLvlLbl val="0"/>
      </c:catAx>
      <c:valAx>
        <c:axId val="24708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7048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1400175</xdr:colOff>
      <xdr:row>49</xdr:row>
      <xdr:rowOff>23812</xdr:rowOff>
    </xdr:from>
    <xdr:to>
      <xdr:col>17</xdr:col>
      <xdr:colOff>581025</xdr:colOff>
      <xdr:row>63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428625</xdr:colOff>
      <xdr:row>0</xdr:row>
      <xdr:rowOff>0</xdr:rowOff>
    </xdr:from>
    <xdr:ext cx="914400" cy="5022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7724775" y="0"/>
              <a:ext cx="914400" cy="5022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/>
                          </a:rPr>
                        </m:ctrlPr>
                      </m:naryPr>
                      <m:sub/>
                      <m:sup/>
                      <m:e>
                        <m:sSup>
                          <m:sSup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latin typeface="Cambria Math"/>
                                  </a:rPr>
                                  <m:t>𝑥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𝑦</m:t>
                                </m:r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7724775" y="0"/>
              <a:ext cx="914400" cy="5022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en-US" sz="1100" i="0">
                  <a:latin typeface="Cambria Math"/>
                </a:rPr>
                <a:t>∑▒</a:t>
              </a:r>
              <a:r>
                <a:rPr lang="en-US" sz="1100" b="0" i="0">
                  <a:latin typeface="Cambria Math"/>
                </a:rPr>
                <a:t>(𝑥−𝑦)^2 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8</xdr:row>
      <xdr:rowOff>104775</xdr:rowOff>
    </xdr:from>
    <xdr:to>
      <xdr:col>5</xdr:col>
      <xdr:colOff>361950</xdr:colOff>
      <xdr:row>12</xdr:row>
      <xdr:rowOff>180975</xdr:rowOff>
    </xdr:to>
    <xdr:sp macro="" textlink="">
      <xdr:nvSpPr>
        <xdr:cNvPr id="2" name="Oval 1"/>
        <xdr:cNvSpPr/>
      </xdr:nvSpPr>
      <xdr:spPr>
        <a:xfrm>
          <a:off x="2505075" y="1628775"/>
          <a:ext cx="904875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i1</a:t>
          </a:r>
        </a:p>
      </xdr:txBody>
    </xdr:sp>
    <xdr:clientData/>
  </xdr:twoCellAnchor>
  <xdr:twoCellAnchor>
    <xdr:from>
      <xdr:col>8</xdr:col>
      <xdr:colOff>476250</xdr:colOff>
      <xdr:row>2</xdr:row>
      <xdr:rowOff>161925</xdr:rowOff>
    </xdr:from>
    <xdr:to>
      <xdr:col>10</xdr:col>
      <xdr:colOff>161925</xdr:colOff>
      <xdr:row>7</xdr:row>
      <xdr:rowOff>47625</xdr:rowOff>
    </xdr:to>
    <xdr:sp macro="" textlink="">
      <xdr:nvSpPr>
        <xdr:cNvPr id="3" name="Oval 2"/>
        <xdr:cNvSpPr/>
      </xdr:nvSpPr>
      <xdr:spPr>
        <a:xfrm>
          <a:off x="5353050" y="542925"/>
          <a:ext cx="904875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n1h1</a:t>
          </a:r>
        </a:p>
      </xdr:txBody>
    </xdr:sp>
    <xdr:clientData/>
  </xdr:twoCellAnchor>
  <xdr:twoCellAnchor>
    <xdr:from>
      <xdr:col>8</xdr:col>
      <xdr:colOff>504825</xdr:colOff>
      <xdr:row>14</xdr:row>
      <xdr:rowOff>85725</xdr:rowOff>
    </xdr:from>
    <xdr:to>
      <xdr:col>10</xdr:col>
      <xdr:colOff>190500</xdr:colOff>
      <xdr:row>18</xdr:row>
      <xdr:rowOff>161925</xdr:rowOff>
    </xdr:to>
    <xdr:sp macro="" textlink="">
      <xdr:nvSpPr>
        <xdr:cNvPr id="4" name="Oval 3"/>
        <xdr:cNvSpPr/>
      </xdr:nvSpPr>
      <xdr:spPr>
        <a:xfrm>
          <a:off x="5381625" y="2752725"/>
          <a:ext cx="904875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n2h1</a:t>
          </a:r>
        </a:p>
      </xdr:txBody>
    </xdr:sp>
    <xdr:clientData/>
  </xdr:twoCellAnchor>
  <xdr:twoCellAnchor>
    <xdr:from>
      <xdr:col>12</xdr:col>
      <xdr:colOff>561975</xdr:colOff>
      <xdr:row>3</xdr:row>
      <xdr:rowOff>104775</xdr:rowOff>
    </xdr:from>
    <xdr:to>
      <xdr:col>14</xdr:col>
      <xdr:colOff>247650</xdr:colOff>
      <xdr:row>7</xdr:row>
      <xdr:rowOff>180975</xdr:rowOff>
    </xdr:to>
    <xdr:sp macro="" textlink="">
      <xdr:nvSpPr>
        <xdr:cNvPr id="5" name="Oval 4"/>
        <xdr:cNvSpPr/>
      </xdr:nvSpPr>
      <xdr:spPr>
        <a:xfrm>
          <a:off x="7877175" y="676275"/>
          <a:ext cx="904875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n1h2</a:t>
          </a:r>
        </a:p>
      </xdr:txBody>
    </xdr:sp>
    <xdr:clientData/>
  </xdr:twoCellAnchor>
  <xdr:twoCellAnchor>
    <xdr:from>
      <xdr:col>12</xdr:col>
      <xdr:colOff>590550</xdr:colOff>
      <xdr:row>15</xdr:row>
      <xdr:rowOff>28575</xdr:rowOff>
    </xdr:from>
    <xdr:to>
      <xdr:col>14</xdr:col>
      <xdr:colOff>276225</xdr:colOff>
      <xdr:row>19</xdr:row>
      <xdr:rowOff>104775</xdr:rowOff>
    </xdr:to>
    <xdr:sp macro="" textlink="">
      <xdr:nvSpPr>
        <xdr:cNvPr id="6" name="Oval 5"/>
        <xdr:cNvSpPr/>
      </xdr:nvSpPr>
      <xdr:spPr>
        <a:xfrm>
          <a:off x="7905750" y="2886075"/>
          <a:ext cx="904875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n2h2</a:t>
          </a:r>
        </a:p>
      </xdr:txBody>
    </xdr:sp>
    <xdr:clientData/>
  </xdr:twoCellAnchor>
  <xdr:twoCellAnchor>
    <xdr:from>
      <xdr:col>17</xdr:col>
      <xdr:colOff>66675</xdr:colOff>
      <xdr:row>8</xdr:row>
      <xdr:rowOff>180975</xdr:rowOff>
    </xdr:from>
    <xdr:to>
      <xdr:col>18</xdr:col>
      <xdr:colOff>361950</xdr:colOff>
      <xdr:row>13</xdr:row>
      <xdr:rowOff>66675</xdr:rowOff>
    </xdr:to>
    <xdr:sp macro="" textlink="">
      <xdr:nvSpPr>
        <xdr:cNvPr id="7" name="Oval 6"/>
        <xdr:cNvSpPr/>
      </xdr:nvSpPr>
      <xdr:spPr>
        <a:xfrm>
          <a:off x="10429875" y="1704975"/>
          <a:ext cx="904875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o1</a:t>
          </a:r>
        </a:p>
      </xdr:txBody>
    </xdr:sp>
    <xdr:clientData/>
  </xdr:twoCellAnchor>
  <xdr:twoCellAnchor>
    <xdr:from>
      <xdr:col>5</xdr:col>
      <xdr:colOff>85725</xdr:colOff>
      <xdr:row>5</xdr:row>
      <xdr:rowOff>133350</xdr:rowOff>
    </xdr:from>
    <xdr:to>
      <xdr:col>8</xdr:col>
      <xdr:colOff>447675</xdr:colOff>
      <xdr:row>9</xdr:row>
      <xdr:rowOff>180975</xdr:rowOff>
    </xdr:to>
    <xdr:cxnSp macro="">
      <xdr:nvCxnSpPr>
        <xdr:cNvPr id="9" name="Straight Arrow Connector 8"/>
        <xdr:cNvCxnSpPr/>
      </xdr:nvCxnSpPr>
      <xdr:spPr>
        <a:xfrm flipV="1">
          <a:off x="3133725" y="1085850"/>
          <a:ext cx="2190750" cy="8096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276225</xdr:colOff>
      <xdr:row>11</xdr:row>
      <xdr:rowOff>95250</xdr:rowOff>
    </xdr:from>
    <xdr:to>
      <xdr:col>8</xdr:col>
      <xdr:colOff>447675</xdr:colOff>
      <xdr:row>16</xdr:row>
      <xdr:rowOff>9525</xdr:rowOff>
    </xdr:to>
    <xdr:cxnSp macro="">
      <xdr:nvCxnSpPr>
        <xdr:cNvPr id="11" name="Straight Arrow Connector 10"/>
        <xdr:cNvCxnSpPr/>
      </xdr:nvCxnSpPr>
      <xdr:spPr>
        <a:xfrm>
          <a:off x="3324225" y="2190750"/>
          <a:ext cx="2000250" cy="8667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5</xdr:row>
      <xdr:rowOff>9525</xdr:rowOff>
    </xdr:from>
    <xdr:to>
      <xdr:col>12</xdr:col>
      <xdr:colOff>514350</xdr:colOff>
      <xdr:row>5</xdr:row>
      <xdr:rowOff>9525</xdr:rowOff>
    </xdr:to>
    <xdr:cxnSp macro="">
      <xdr:nvCxnSpPr>
        <xdr:cNvPr id="13" name="Straight Arrow Connector 12"/>
        <xdr:cNvCxnSpPr>
          <a:stCxn id="3" idx="6"/>
        </xdr:cNvCxnSpPr>
      </xdr:nvCxnSpPr>
      <xdr:spPr>
        <a:xfrm>
          <a:off x="6257925" y="962025"/>
          <a:ext cx="157162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6</xdr:row>
      <xdr:rowOff>47625</xdr:rowOff>
    </xdr:from>
    <xdr:to>
      <xdr:col>13</xdr:col>
      <xdr:colOff>38100</xdr:colOff>
      <xdr:row>15</xdr:row>
      <xdr:rowOff>114300</xdr:rowOff>
    </xdr:to>
    <xdr:cxnSp macro="">
      <xdr:nvCxnSpPr>
        <xdr:cNvPr id="15" name="Straight Arrow Connector 14"/>
        <xdr:cNvCxnSpPr/>
      </xdr:nvCxnSpPr>
      <xdr:spPr>
        <a:xfrm>
          <a:off x="6219825" y="1190625"/>
          <a:ext cx="1743075" cy="17811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57984</xdr:colOff>
      <xdr:row>7</xdr:row>
      <xdr:rowOff>0</xdr:rowOff>
    </xdr:from>
    <xdr:to>
      <xdr:col>12</xdr:col>
      <xdr:colOff>523875</xdr:colOff>
      <xdr:row>15</xdr:row>
      <xdr:rowOff>17977</xdr:rowOff>
    </xdr:to>
    <xdr:cxnSp macro="">
      <xdr:nvCxnSpPr>
        <xdr:cNvPr id="17" name="Straight Arrow Connector 16"/>
        <xdr:cNvCxnSpPr>
          <a:stCxn id="4" idx="7"/>
        </xdr:cNvCxnSpPr>
      </xdr:nvCxnSpPr>
      <xdr:spPr>
        <a:xfrm flipV="1">
          <a:off x="6153984" y="1333500"/>
          <a:ext cx="1685091" cy="154197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190500</xdr:colOff>
      <xdr:row>16</xdr:row>
      <xdr:rowOff>123825</xdr:rowOff>
    </xdr:from>
    <xdr:to>
      <xdr:col>12</xdr:col>
      <xdr:colOff>561975</xdr:colOff>
      <xdr:row>16</xdr:row>
      <xdr:rowOff>142875</xdr:rowOff>
    </xdr:to>
    <xdr:cxnSp macro="">
      <xdr:nvCxnSpPr>
        <xdr:cNvPr id="19" name="Straight Arrow Connector 18"/>
        <xdr:cNvCxnSpPr>
          <a:stCxn id="4" idx="6"/>
        </xdr:cNvCxnSpPr>
      </xdr:nvCxnSpPr>
      <xdr:spPr>
        <a:xfrm>
          <a:off x="6286500" y="3171825"/>
          <a:ext cx="1590675" cy="19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5</xdr:row>
      <xdr:rowOff>142875</xdr:rowOff>
    </xdr:from>
    <xdr:to>
      <xdr:col>17</xdr:col>
      <xdr:colOff>0</xdr:colOff>
      <xdr:row>10</xdr:row>
      <xdr:rowOff>19050</xdr:rowOff>
    </xdr:to>
    <xdr:cxnSp macro="">
      <xdr:nvCxnSpPr>
        <xdr:cNvPr id="21" name="Straight Arrow Connector 20"/>
        <xdr:cNvCxnSpPr>
          <a:stCxn id="5" idx="6"/>
        </xdr:cNvCxnSpPr>
      </xdr:nvCxnSpPr>
      <xdr:spPr>
        <a:xfrm>
          <a:off x="8782050" y="1095375"/>
          <a:ext cx="1581150" cy="8286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361950</xdr:colOff>
      <xdr:row>12</xdr:row>
      <xdr:rowOff>28575</xdr:rowOff>
    </xdr:from>
    <xdr:to>
      <xdr:col>17</xdr:col>
      <xdr:colOff>19050</xdr:colOff>
      <xdr:row>17</xdr:row>
      <xdr:rowOff>0</xdr:rowOff>
    </xdr:to>
    <xdr:cxnSp macro="">
      <xdr:nvCxnSpPr>
        <xdr:cNvPr id="23" name="Straight Arrow Connector 22"/>
        <xdr:cNvCxnSpPr/>
      </xdr:nvCxnSpPr>
      <xdr:spPr>
        <a:xfrm flipV="1">
          <a:off x="8896350" y="2314575"/>
          <a:ext cx="1485900" cy="9239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133350</xdr:colOff>
      <xdr:row>20</xdr:row>
      <xdr:rowOff>0</xdr:rowOff>
    </xdr:from>
    <xdr:to>
      <xdr:col>9</xdr:col>
      <xdr:colOff>600075</xdr:colOff>
      <xdr:row>22</xdr:row>
      <xdr:rowOff>66675</xdr:rowOff>
    </xdr:to>
    <xdr:sp macro="" textlink="">
      <xdr:nvSpPr>
        <xdr:cNvPr id="24" name="Oval 23"/>
        <xdr:cNvSpPr/>
      </xdr:nvSpPr>
      <xdr:spPr>
        <a:xfrm>
          <a:off x="5619750" y="3810000"/>
          <a:ext cx="466725" cy="44767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b1</a:t>
          </a:r>
        </a:p>
      </xdr:txBody>
    </xdr:sp>
    <xdr:clientData/>
  </xdr:twoCellAnchor>
  <xdr:twoCellAnchor>
    <xdr:from>
      <xdr:col>13</xdr:col>
      <xdr:colOff>209550</xdr:colOff>
      <xdr:row>20</xdr:row>
      <xdr:rowOff>76200</xdr:rowOff>
    </xdr:from>
    <xdr:to>
      <xdr:col>14</xdr:col>
      <xdr:colOff>66675</xdr:colOff>
      <xdr:row>22</xdr:row>
      <xdr:rowOff>142875</xdr:rowOff>
    </xdr:to>
    <xdr:sp macro="" textlink="">
      <xdr:nvSpPr>
        <xdr:cNvPr id="25" name="Oval 24"/>
        <xdr:cNvSpPr/>
      </xdr:nvSpPr>
      <xdr:spPr>
        <a:xfrm>
          <a:off x="8134350" y="3886200"/>
          <a:ext cx="466725" cy="44767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b2</a:t>
          </a:r>
        </a:p>
      </xdr:txBody>
    </xdr:sp>
    <xdr:clientData/>
  </xdr:twoCellAnchor>
  <xdr:oneCellAnchor>
    <xdr:from>
      <xdr:col>6</xdr:col>
      <xdr:colOff>409575</xdr:colOff>
      <xdr:row>6</xdr:row>
      <xdr:rowOff>38100</xdr:rowOff>
    </xdr:from>
    <xdr:ext cx="381643" cy="264560"/>
    <xdr:sp macro="" textlink="">
      <xdr:nvSpPr>
        <xdr:cNvPr id="26" name="TextBox 25"/>
        <xdr:cNvSpPr txBox="1"/>
      </xdr:nvSpPr>
      <xdr:spPr>
        <a:xfrm>
          <a:off x="4067175" y="1181100"/>
          <a:ext cx="3816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W1</a:t>
          </a:r>
        </a:p>
      </xdr:txBody>
    </xdr:sp>
    <xdr:clientData/>
  </xdr:oneCellAnchor>
  <xdr:oneCellAnchor>
    <xdr:from>
      <xdr:col>6</xdr:col>
      <xdr:colOff>495300</xdr:colOff>
      <xdr:row>14</xdr:row>
      <xdr:rowOff>57150</xdr:rowOff>
    </xdr:from>
    <xdr:ext cx="381643" cy="264560"/>
    <xdr:sp macro="" textlink="">
      <xdr:nvSpPr>
        <xdr:cNvPr id="27" name="TextBox 26"/>
        <xdr:cNvSpPr txBox="1"/>
      </xdr:nvSpPr>
      <xdr:spPr>
        <a:xfrm>
          <a:off x="4152900" y="2724150"/>
          <a:ext cx="3816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W2</a:t>
          </a:r>
        </a:p>
      </xdr:txBody>
    </xdr:sp>
    <xdr:clientData/>
  </xdr:oneCellAnchor>
  <xdr:oneCellAnchor>
    <xdr:from>
      <xdr:col>11</xdr:col>
      <xdr:colOff>142875</xdr:colOff>
      <xdr:row>3</xdr:row>
      <xdr:rowOff>104775</xdr:rowOff>
    </xdr:from>
    <xdr:ext cx="381643" cy="264560"/>
    <xdr:sp macro="" textlink="">
      <xdr:nvSpPr>
        <xdr:cNvPr id="28" name="TextBox 27"/>
        <xdr:cNvSpPr txBox="1"/>
      </xdr:nvSpPr>
      <xdr:spPr>
        <a:xfrm>
          <a:off x="6848475" y="676275"/>
          <a:ext cx="3816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W3</a:t>
          </a:r>
        </a:p>
      </xdr:txBody>
    </xdr:sp>
    <xdr:clientData/>
  </xdr:oneCellAnchor>
  <xdr:oneCellAnchor>
    <xdr:from>
      <xdr:col>10</xdr:col>
      <xdr:colOff>361950</xdr:colOff>
      <xdr:row>6</xdr:row>
      <xdr:rowOff>152400</xdr:rowOff>
    </xdr:from>
    <xdr:ext cx="381643" cy="264560"/>
    <xdr:sp macro="" textlink="">
      <xdr:nvSpPr>
        <xdr:cNvPr id="29" name="TextBox 28"/>
        <xdr:cNvSpPr txBox="1"/>
      </xdr:nvSpPr>
      <xdr:spPr>
        <a:xfrm>
          <a:off x="6457950" y="1295400"/>
          <a:ext cx="3816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W4</a:t>
          </a:r>
        </a:p>
      </xdr:txBody>
    </xdr:sp>
    <xdr:clientData/>
  </xdr:oneCellAnchor>
  <xdr:oneCellAnchor>
    <xdr:from>
      <xdr:col>10</xdr:col>
      <xdr:colOff>333375</xdr:colOff>
      <xdr:row>11</xdr:row>
      <xdr:rowOff>66675</xdr:rowOff>
    </xdr:from>
    <xdr:ext cx="381643" cy="264560"/>
    <xdr:sp macro="" textlink="">
      <xdr:nvSpPr>
        <xdr:cNvPr id="30" name="TextBox 29"/>
        <xdr:cNvSpPr txBox="1"/>
      </xdr:nvSpPr>
      <xdr:spPr>
        <a:xfrm>
          <a:off x="6429375" y="2162175"/>
          <a:ext cx="3816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W5</a:t>
          </a:r>
        </a:p>
      </xdr:txBody>
    </xdr:sp>
    <xdr:clientData/>
  </xdr:oneCellAnchor>
  <xdr:oneCellAnchor>
    <xdr:from>
      <xdr:col>11</xdr:col>
      <xdr:colOff>161925</xdr:colOff>
      <xdr:row>16</xdr:row>
      <xdr:rowOff>114300</xdr:rowOff>
    </xdr:from>
    <xdr:ext cx="381643" cy="264560"/>
    <xdr:sp macro="" textlink="">
      <xdr:nvSpPr>
        <xdr:cNvPr id="31" name="TextBox 30"/>
        <xdr:cNvSpPr txBox="1"/>
      </xdr:nvSpPr>
      <xdr:spPr>
        <a:xfrm>
          <a:off x="6867525" y="3162300"/>
          <a:ext cx="3816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W6</a:t>
          </a:r>
        </a:p>
      </xdr:txBody>
    </xdr:sp>
    <xdr:clientData/>
  </xdr:oneCellAnchor>
  <xdr:oneCellAnchor>
    <xdr:from>
      <xdr:col>15</xdr:col>
      <xdr:colOff>209550</xdr:colOff>
      <xdr:row>6</xdr:row>
      <xdr:rowOff>47625</xdr:rowOff>
    </xdr:from>
    <xdr:ext cx="381643" cy="264560"/>
    <xdr:sp macro="" textlink="">
      <xdr:nvSpPr>
        <xdr:cNvPr id="32" name="TextBox 31"/>
        <xdr:cNvSpPr txBox="1"/>
      </xdr:nvSpPr>
      <xdr:spPr>
        <a:xfrm>
          <a:off x="9353550" y="1190625"/>
          <a:ext cx="3816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W7</a:t>
          </a:r>
        </a:p>
      </xdr:txBody>
    </xdr:sp>
    <xdr:clientData/>
  </xdr:oneCellAnchor>
  <xdr:oneCellAnchor>
    <xdr:from>
      <xdr:col>15</xdr:col>
      <xdr:colOff>314325</xdr:colOff>
      <xdr:row>15</xdr:row>
      <xdr:rowOff>47625</xdr:rowOff>
    </xdr:from>
    <xdr:ext cx="381643" cy="264560"/>
    <xdr:sp macro="" textlink="">
      <xdr:nvSpPr>
        <xdr:cNvPr id="33" name="TextBox 32"/>
        <xdr:cNvSpPr txBox="1"/>
      </xdr:nvSpPr>
      <xdr:spPr>
        <a:xfrm>
          <a:off x="9458325" y="2905125"/>
          <a:ext cx="3816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W7</a:t>
          </a:r>
        </a:p>
      </xdr:txBody>
    </xdr:sp>
    <xdr:clientData/>
  </xdr:oneCellAnchor>
  <xdr:twoCellAnchor>
    <xdr:from>
      <xdr:col>17</xdr:col>
      <xdr:colOff>238125</xdr:colOff>
      <xdr:row>14</xdr:row>
      <xdr:rowOff>133350</xdr:rowOff>
    </xdr:from>
    <xdr:to>
      <xdr:col>18</xdr:col>
      <xdr:colOff>95250</xdr:colOff>
      <xdr:row>17</xdr:row>
      <xdr:rowOff>9525</xdr:rowOff>
    </xdr:to>
    <xdr:sp macro="" textlink="">
      <xdr:nvSpPr>
        <xdr:cNvPr id="34" name="Oval 33"/>
        <xdr:cNvSpPr/>
      </xdr:nvSpPr>
      <xdr:spPr>
        <a:xfrm>
          <a:off x="10601325" y="2800350"/>
          <a:ext cx="466725" cy="44767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3"/>
  <sheetViews>
    <sheetView tabSelected="1" workbookViewId="0">
      <selection activeCell="J7" sqref="J7"/>
    </sheetView>
  </sheetViews>
  <sheetFormatPr defaultRowHeight="15" x14ac:dyDescent="0.25"/>
  <cols>
    <col min="1" max="1" width="11.28515625" bestFit="1" customWidth="1"/>
    <col min="2" max="2" width="11.28515625" customWidth="1"/>
    <col min="3" max="3" width="15.7109375" bestFit="1" customWidth="1"/>
    <col min="4" max="4" width="18.42578125" customWidth="1"/>
    <col min="5" max="6" width="12.5703125" bestFit="1" customWidth="1"/>
    <col min="7" max="7" width="15.42578125" customWidth="1"/>
    <col min="8" max="8" width="12.140625" customWidth="1"/>
    <col min="11" max="11" width="26" customWidth="1"/>
    <col min="20" max="20" width="16.5703125" customWidth="1"/>
  </cols>
  <sheetData>
    <row r="1" spans="1:21" x14ac:dyDescent="0.25">
      <c r="A1" t="s">
        <v>0</v>
      </c>
      <c r="B1" t="s">
        <v>15</v>
      </c>
      <c r="C1" t="s">
        <v>1</v>
      </c>
      <c r="D1" t="s">
        <v>14</v>
      </c>
      <c r="E1" t="s">
        <v>16</v>
      </c>
      <c r="F1" t="s">
        <v>17</v>
      </c>
      <c r="G1" t="s">
        <v>18</v>
      </c>
      <c r="H1" t="s">
        <v>19</v>
      </c>
      <c r="J1" s="3"/>
      <c r="K1" s="5">
        <f>SUMXMY2(C2:C6,H2:H6)</f>
        <v>7.5257639014717295E-5</v>
      </c>
    </row>
    <row r="2" spans="1:21" x14ac:dyDescent="0.25">
      <c r="A2">
        <v>0</v>
      </c>
      <c r="B2">
        <f>RADIANS(A2)</f>
        <v>0</v>
      </c>
      <c r="C2">
        <f>SIN(B2)</f>
        <v>0</v>
      </c>
      <c r="D2" s="2">
        <f>sigmoid($B2*$S$7-$U$7)</f>
        <v>0.49999998862093947</v>
      </c>
      <c r="E2" s="2">
        <f>sigmoid($B2*$T$7-$U$7)</f>
        <v>0.49999998862093947</v>
      </c>
      <c r="F2" s="2">
        <f>sigmoid((D2*$S$10)+(D2*$T$10)-$U$10)</f>
        <v>5.9760393382391386E-4</v>
      </c>
      <c r="G2" s="2">
        <f>sigmoid((E2*$S$13)+(E2*$T$13)-$U$10)</f>
        <v>0.26765103050490008</v>
      </c>
      <c r="H2">
        <f>((F2*$S$16)+(G2*$T$16))-$U$16</f>
        <v>2.4409127531754837E-4</v>
      </c>
    </row>
    <row r="3" spans="1:21" x14ac:dyDescent="0.25">
      <c r="A3">
        <v>30</v>
      </c>
      <c r="B3">
        <f t="shared" ref="B3:B6" si="0">RADIANS(A3)</f>
        <v>0.52359877559829882</v>
      </c>
      <c r="C3">
        <f t="shared" ref="C3:C6" si="1">SIN(B3)</f>
        <v>0.49999999999999994</v>
      </c>
      <c r="D3" s="2">
        <f t="shared" ref="D3:D6" si="2">sigmoid($B3*$S$7-$U$7)</f>
        <v>0.53259028345303749</v>
      </c>
      <c r="E3" s="2">
        <f t="shared" ref="E3:E6" si="3">sigmoid($B3*$T$7-$U$7)</f>
        <v>0.60723685234507341</v>
      </c>
      <c r="F3" s="2">
        <f t="shared" ref="F3:F6" si="4">sigmoid((D3*$S$10)+(D3*$T$10)-$U$10)</f>
        <v>6.0668246875821995E-4</v>
      </c>
      <c r="G3" s="2">
        <f t="shared" ref="G3:G6" si="5">sigmoid((E3*$S$13)+(E3*$T$13)-$U$10)</f>
        <v>0.60324518572609365</v>
      </c>
      <c r="H3">
        <f t="shared" ref="H3:H6" si="6">((F3*$S$16)+(G3*$T$16))-$U$16</f>
        <v>0.49767638900271099</v>
      </c>
    </row>
    <row r="4" spans="1:21" x14ac:dyDescent="0.25">
      <c r="A4">
        <v>45</v>
      </c>
      <c r="B4">
        <f t="shared" si="0"/>
        <v>0.78539816339744828</v>
      </c>
      <c r="C4">
        <f t="shared" si="1"/>
        <v>0.70710678118654746</v>
      </c>
      <c r="D4" s="2">
        <f t="shared" si="2"/>
        <v>0.54879900342052867</v>
      </c>
      <c r="E4" s="2">
        <f t="shared" si="3"/>
        <v>0.65781411279613222</v>
      </c>
      <c r="F4" s="2">
        <f t="shared" si="4"/>
        <v>6.1124885285621393E-4</v>
      </c>
      <c r="G4" s="2">
        <f t="shared" si="5"/>
        <v>0.74863883938965581</v>
      </c>
      <c r="H4">
        <f t="shared" si="6"/>
        <v>0.71318520550512421</v>
      </c>
    </row>
    <row r="5" spans="1:21" x14ac:dyDescent="0.25">
      <c r="A5">
        <v>60</v>
      </c>
      <c r="B5">
        <f t="shared" si="0"/>
        <v>1.0471975511965976</v>
      </c>
      <c r="C5">
        <f t="shared" si="1"/>
        <v>0.8660254037844386</v>
      </c>
      <c r="D5" s="2">
        <f t="shared" si="2"/>
        <v>0.56490482956347809</v>
      </c>
      <c r="E5" s="2">
        <f t="shared" si="3"/>
        <v>0.70504199405691959</v>
      </c>
      <c r="F5" s="2">
        <f t="shared" si="4"/>
        <v>6.1582027150877672E-4</v>
      </c>
      <c r="G5" s="2">
        <f t="shared" si="5"/>
        <v>0.84802586352516762</v>
      </c>
      <c r="H5">
        <f t="shared" si="6"/>
        <v>0.86050098860459512</v>
      </c>
    </row>
    <row r="6" spans="1:21" ht="15.75" thickBot="1" x14ac:dyDescent="0.3">
      <c r="A6">
        <v>90</v>
      </c>
      <c r="B6">
        <f t="shared" si="0"/>
        <v>1.5707963267948966</v>
      </c>
      <c r="C6">
        <f t="shared" si="1"/>
        <v>1</v>
      </c>
      <c r="D6" s="2">
        <f t="shared" si="2"/>
        <v>0.59667713235203401</v>
      </c>
      <c r="E6" s="2">
        <f t="shared" si="3"/>
        <v>0.78703360815818713</v>
      </c>
      <c r="F6" s="2">
        <f t="shared" si="4"/>
        <v>6.249388332605103E-4</v>
      </c>
      <c r="G6" s="2">
        <f t="shared" si="5"/>
        <v>0.94316964179543428</v>
      </c>
      <c r="H6">
        <f t="shared" si="6"/>
        <v>1.0015272475638739</v>
      </c>
      <c r="S6" t="s">
        <v>2</v>
      </c>
      <c r="T6" t="s">
        <v>3</v>
      </c>
      <c r="U6" t="s">
        <v>4</v>
      </c>
    </row>
    <row r="7" spans="1:21" ht="15.75" thickBot="1" x14ac:dyDescent="0.3">
      <c r="S7" s="1">
        <v>0.24932499999999999</v>
      </c>
      <c r="T7" s="1">
        <v>0.8321490230048515</v>
      </c>
      <c r="U7" s="1">
        <v>4.5516242265956163E-8</v>
      </c>
    </row>
    <row r="9" spans="1:21" ht="15.75" thickBot="1" x14ac:dyDescent="0.3">
      <c r="S9" t="s">
        <v>5</v>
      </c>
      <c r="T9" t="s">
        <v>6</v>
      </c>
      <c r="U9" t="s">
        <v>7</v>
      </c>
    </row>
    <row r="10" spans="1:21" ht="15.75" thickBot="1" x14ac:dyDescent="0.3">
      <c r="D10" s="2"/>
      <c r="E10" s="2"/>
      <c r="F10" s="2"/>
      <c r="G10" s="2"/>
      <c r="S10" s="1">
        <v>0.37905299999999997</v>
      </c>
      <c r="T10" s="1">
        <v>8.3858000000000002E-2</v>
      </c>
      <c r="U10" s="1">
        <v>7.6534400536256069</v>
      </c>
    </row>
    <row r="12" spans="1:21" ht="15.75" thickBot="1" x14ac:dyDescent="0.3">
      <c r="S12" t="s">
        <v>8</v>
      </c>
      <c r="T12" t="s">
        <v>9</v>
      </c>
    </row>
    <row r="13" spans="1:21" ht="15.75" thickBot="1" x14ac:dyDescent="0.3">
      <c r="S13" s="1">
        <v>13.293734154562037</v>
      </c>
      <c r="T13" s="4">
        <v>0</v>
      </c>
    </row>
    <row r="15" spans="1:21" ht="15.75" thickBot="1" x14ac:dyDescent="0.3">
      <c r="S15" t="s">
        <v>10</v>
      </c>
      <c r="T15" t="s">
        <v>11</v>
      </c>
      <c r="U15" t="s">
        <v>12</v>
      </c>
    </row>
    <row r="16" spans="1:21" ht="15.75" thickBot="1" x14ac:dyDescent="0.3">
      <c r="S16" s="1">
        <v>0</v>
      </c>
      <c r="T16" s="1">
        <v>1.4822436266791676</v>
      </c>
      <c r="U16" s="1">
        <v>0.39647994286468208</v>
      </c>
    </row>
    <row r="46" spans="1:9" x14ac:dyDescent="0.25">
      <c r="A46">
        <v>5</v>
      </c>
      <c r="B46">
        <f t="shared" ref="B46" si="7">RADIANS(A46)</f>
        <v>8.7266462599716474E-2</v>
      </c>
      <c r="C46">
        <f t="shared" ref="C46" si="8">SIN(B46)</f>
        <v>8.7155742747658166E-2</v>
      </c>
      <c r="D46" s="2">
        <f>sigmoid($B46*$S$7-$U$7)</f>
        <v>0.50543920174485613</v>
      </c>
      <c r="E46" s="2">
        <f>sigmoid($B46*$T$7-$U$7)</f>
        <v>0.5181466900525098</v>
      </c>
      <c r="F46" s="2">
        <f t="shared" ref="F46" si="9">sigmoid((D46*$S$10)+(D46*$T$10)-$U$10)</f>
        <v>5.991096170776635E-4</v>
      </c>
      <c r="G46" s="2">
        <f t="shared" ref="G46" si="10">sigmoid((E46*$S$13)+(E46*$T$13)-$U$10)</f>
        <v>0.3174889499621783</v>
      </c>
      <c r="H46">
        <f t="shared" ref="H46" si="11">((F46*$S$16)+(G46*$T$16))-$U$16</f>
        <v>7.4116029757817892E-2</v>
      </c>
      <c r="I46">
        <f>SIN(B46)</f>
        <v>8.7155742747658166E-2</v>
      </c>
    </row>
    <row r="47" spans="1:9" x14ac:dyDescent="0.25">
      <c r="A47">
        <v>7</v>
      </c>
      <c r="B47">
        <f t="shared" ref="B47:B48" si="12">RADIANS(A47)</f>
        <v>0.12217304763960307</v>
      </c>
      <c r="C47">
        <f t="shared" ref="C47:C48" si="13">SIN(B47)</f>
        <v>0.12186934340514748</v>
      </c>
      <c r="D47" s="2">
        <f>sigmoid($B47*$S$7-$U$7)</f>
        <v>0.50761459863400804</v>
      </c>
      <c r="E47" s="2">
        <f>sigmoid($B47*$T$7-$U$7)</f>
        <v>0.52539466466748985</v>
      </c>
      <c r="F47" s="2">
        <f t="shared" ref="F47:F48" si="14">sigmoid((D47*$S$10)+(D47*$T$10)-$U$10)</f>
        <v>5.9971287141608639E-4</v>
      </c>
      <c r="G47" s="2">
        <f t="shared" ref="G47:G48" si="15">sigmoid((E47*$S$13)+(E47*$T$13)-$U$10)</f>
        <v>0.33872458911172554</v>
      </c>
      <c r="H47">
        <f t="shared" ref="H47:H48" si="16">((F47*$S$16)+(G47*$T$16))-$U$16</f>
        <v>0.1055924205456929</v>
      </c>
      <c r="I47">
        <f>SIN(B47)</f>
        <v>0.12186934340514748</v>
      </c>
    </row>
    <row r="48" spans="1:9" x14ac:dyDescent="0.25">
      <c r="A48">
        <v>9</v>
      </c>
      <c r="B48">
        <f t="shared" si="12"/>
        <v>0.15707963267948966</v>
      </c>
      <c r="C48">
        <f t="shared" si="13"/>
        <v>0.15643446504023087</v>
      </c>
      <c r="D48" s="2">
        <f>sigmoid($B48*$S$7-$U$7)</f>
        <v>0.50978970721483341</v>
      </c>
      <c r="E48" s="2">
        <f>sigmoid($B48*$T$7-$U$7)</f>
        <v>0.53263195496312166</v>
      </c>
      <c r="F48" s="2">
        <f t="shared" si="14"/>
        <v>6.0031665274654826E-4</v>
      </c>
      <c r="G48" s="2">
        <f t="shared" si="15"/>
        <v>0.36059734472629301</v>
      </c>
      <c r="H48">
        <f t="shared" si="16"/>
        <v>0.13801317315329648</v>
      </c>
      <c r="I48">
        <f t="shared" ref="I48:I74" si="17">SIN(B48)</f>
        <v>0.15643446504023087</v>
      </c>
    </row>
    <row r="49" spans="1:9" x14ac:dyDescent="0.25">
      <c r="A49">
        <v>11</v>
      </c>
      <c r="B49">
        <f t="shared" ref="B49:B77" si="18">RADIANS(A49)</f>
        <v>0.19198621771937624</v>
      </c>
      <c r="C49">
        <f t="shared" ref="C49:C77" si="19">SIN(B49)</f>
        <v>0.1908089953765448</v>
      </c>
      <c r="D49" s="2">
        <f>sigmoid($B49*$S$7-$U$7)</f>
        <v>0.51196444518825601</v>
      </c>
      <c r="E49" s="2">
        <f>sigmoid($B49*$T$7-$U$7)</f>
        <v>0.53985553910548589</v>
      </c>
      <c r="F49" s="2">
        <f t="shared" ref="F49:F77" si="20">sigmoid((D49*$S$10)+(D49*$T$10)-$U$10)</f>
        <v>6.0092093855789602E-4</v>
      </c>
      <c r="G49" s="2">
        <f t="shared" ref="G49:G77" si="21">sigmoid((E49*$S$13)+(E49*$T$13)-$U$10)</f>
        <v>0.38302126817500304</v>
      </c>
      <c r="H49">
        <f t="shared" ref="H49:H77" si="22">((F49*$S$16)+(G49*$T$16))-$U$16</f>
        <v>0.17125089077028849</v>
      </c>
      <c r="I49">
        <f t="shared" si="17"/>
        <v>0.1908089953765448</v>
      </c>
    </row>
    <row r="50" spans="1:9" x14ac:dyDescent="0.25">
      <c r="A50">
        <v>13</v>
      </c>
      <c r="B50">
        <f t="shared" si="18"/>
        <v>0.22689280275926285</v>
      </c>
      <c r="C50">
        <f t="shared" si="19"/>
        <v>0.224951054343865</v>
      </c>
      <c r="D50" s="2">
        <f>sigmoid($B50*$S$7-$U$7)</f>
        <v>0.51413873031130708</v>
      </c>
      <c r="E50" s="2">
        <f>sigmoid($B50*$T$7-$U$7)</f>
        <v>0.54706241823178947</v>
      </c>
      <c r="F50" s="2">
        <f t="shared" si="20"/>
        <v>6.015257062626934E-4</v>
      </c>
      <c r="G50" s="2">
        <f t="shared" si="21"/>
        <v>0.40590075522270225</v>
      </c>
      <c r="H50">
        <f t="shared" si="22"/>
        <v>0.20516386462842923</v>
      </c>
      <c r="I50">
        <f t="shared" si="17"/>
        <v>0.224951054343865</v>
      </c>
    </row>
    <row r="51" spans="1:9" x14ac:dyDescent="0.25">
      <c r="A51">
        <v>15</v>
      </c>
      <c r="B51">
        <f t="shared" si="18"/>
        <v>0.26179938779914941</v>
      </c>
      <c r="C51">
        <f t="shared" si="19"/>
        <v>0.25881904510252074</v>
      </c>
      <c r="D51" s="2">
        <f>sigmoid($B51*$S$7-$U$7)</f>
        <v>0.51631248040955768</v>
      </c>
      <c r="E51" s="2">
        <f>sigmoid($B51*$T$7-$U$7)</f>
        <v>0.55424962138790901</v>
      </c>
      <c r="F51" s="2">
        <f t="shared" si="20"/>
        <v>6.0213093320057821E-4</v>
      </c>
      <c r="G51" s="2">
        <f t="shared" si="21"/>
        <v>0.42913212592224748</v>
      </c>
      <c r="H51">
        <f t="shared" si="22"/>
        <v>0.23959841578685132</v>
      </c>
      <c r="I51">
        <f t="shared" si="17"/>
        <v>0.25881904510252074</v>
      </c>
    </row>
    <row r="52" spans="1:9" x14ac:dyDescent="0.25">
      <c r="A52">
        <v>17</v>
      </c>
      <c r="B52">
        <f t="shared" si="18"/>
        <v>0.29670597283903605</v>
      </c>
      <c r="C52">
        <f t="shared" si="19"/>
        <v>0.29237170472273677</v>
      </c>
      <c r="D52" s="2">
        <f>sigmoid($B52*$S$7-$U$7)</f>
        <v>0.51848561338952759</v>
      </c>
      <c r="E52" s="2">
        <f>sigmoid($B52*$T$7-$U$7)</f>
        <v>0.56141421036723804</v>
      </c>
      <c r="F52" s="2">
        <f t="shared" si="20"/>
        <v>6.0273659664163539E-4</v>
      </c>
      <c r="G52" s="2">
        <f t="shared" si="21"/>
        <v>0.45260551821298783</v>
      </c>
      <c r="H52">
        <f t="shared" si="22"/>
        <v>0.27439170190634105</v>
      </c>
      <c r="I52">
        <f t="shared" si="17"/>
        <v>0.29237170472273677</v>
      </c>
    </row>
    <row r="53" spans="1:9" x14ac:dyDescent="0.25">
      <c r="A53">
        <v>19</v>
      </c>
      <c r="B53">
        <f t="shared" si="18"/>
        <v>0.33161255787892263</v>
      </c>
      <c r="C53">
        <f t="shared" si="19"/>
        <v>0.3255681544571567</v>
      </c>
      <c r="D53" s="2">
        <f>sigmoid($B53*$S$7-$U$7)</f>
        <v>0.52065804725106901</v>
      </c>
      <c r="E53" s="2">
        <f>sigmoid($B53*$T$7-$U$7)</f>
        <v>0.56855328443432385</v>
      </c>
      <c r="F53" s="2">
        <f t="shared" si="20"/>
        <v>6.0334267378979965E-4</v>
      </c>
      <c r="G53" s="2">
        <f t="shared" si="21"/>
        <v>0.47620702414560773</v>
      </c>
      <c r="H53">
        <f t="shared" si="22"/>
        <v>0.30937488365499749</v>
      </c>
      <c r="I53">
        <f t="shared" si="17"/>
        <v>0.3255681544571567</v>
      </c>
    </row>
    <row r="54" spans="1:9" x14ac:dyDescent="0.25">
      <c r="A54">
        <v>21</v>
      </c>
      <c r="B54">
        <f t="shared" si="18"/>
        <v>0.36651914291880922</v>
      </c>
      <c r="C54">
        <f t="shared" si="19"/>
        <v>0.35836794954530027</v>
      </c>
      <c r="D54" s="2">
        <f>sigmoid($B54*$S$7-$U$7)</f>
        <v>0.52282970009972052</v>
      </c>
      <c r="E54" s="2">
        <f>sigmoid($B54*$T$7-$U$7)</f>
        <v>0.57566398491747006</v>
      </c>
      <c r="F54" s="2">
        <f t="shared" si="20"/>
        <v>6.0394914178627565E-4</v>
      </c>
      <c r="G54" s="2">
        <f t="shared" si="21"/>
        <v>0.49982098106341211</v>
      </c>
      <c r="H54">
        <f t="shared" si="22"/>
        <v>0.34437652079708941</v>
      </c>
      <c r="I54">
        <f t="shared" si="17"/>
        <v>0.35836794954530027</v>
      </c>
    </row>
    <row r="55" spans="1:9" x14ac:dyDescent="0.25">
      <c r="A55">
        <v>23</v>
      </c>
      <c r="B55">
        <f t="shared" si="18"/>
        <v>0.4014257279586958</v>
      </c>
      <c r="C55">
        <f t="shared" si="19"/>
        <v>0.39073112848927377</v>
      </c>
      <c r="D55" s="2">
        <f>sigmoid($B55*$S$7-$U$7)</f>
        <v>0.52500049015902639</v>
      </c>
      <c r="E55" s="2">
        <f>sigmoid($B55*$T$7-$U$7)</f>
        <v>0.5827434996552644</v>
      </c>
      <c r="F55" s="2">
        <f t="shared" si="20"/>
        <v>6.0455597771297948E-4</v>
      </c>
      <c r="G55" s="2">
        <f t="shared" si="21"/>
        <v>0.52333231954640613</v>
      </c>
      <c r="H55">
        <f t="shared" si="22"/>
        <v>0.37922605241820401</v>
      </c>
      <c r="I55">
        <f t="shared" si="17"/>
        <v>0.39073112848927377</v>
      </c>
    </row>
    <row r="56" spans="1:9" x14ac:dyDescent="0.25">
      <c r="A56">
        <v>25</v>
      </c>
      <c r="B56">
        <f t="shared" si="18"/>
        <v>0.43633231299858238</v>
      </c>
      <c r="C56">
        <f t="shared" si="19"/>
        <v>0.42261826174069944</v>
      </c>
      <c r="D56" s="2">
        <f>sigmoid($B56*$S$7-$U$7)</f>
        <v>0.52717033578281858</v>
      </c>
      <c r="E56" s="2">
        <f>sigmoid($B56*$T$7-$U$7)</f>
        <v>0.5897890672828513</v>
      </c>
      <c r="F56" s="2">
        <f t="shared" si="20"/>
        <v>6.0516315859599921E-4</v>
      </c>
      <c r="G56" s="2">
        <f t="shared" si="21"/>
        <v>0.54662886657263698</v>
      </c>
      <c r="H56">
        <f t="shared" si="22"/>
        <v>0.41375721077146616</v>
      </c>
      <c r="I56">
        <f t="shared" si="17"/>
        <v>0.42261826174069944</v>
      </c>
    </row>
    <row r="57" spans="1:9" x14ac:dyDescent="0.25">
      <c r="A57">
        <v>27</v>
      </c>
      <c r="B57">
        <f t="shared" si="18"/>
        <v>0.47123889803846897</v>
      </c>
      <c r="C57">
        <f t="shared" si="19"/>
        <v>0.45399049973954675</v>
      </c>
      <c r="D57" s="2">
        <f>sigmoid($B57*$S$7-$U$7)</f>
        <v>0.52933915546745658</v>
      </c>
      <c r="E57" s="2">
        <f>sigmoid($B57*$T$7-$U$7)</f>
        <v>0.59679798134470685</v>
      </c>
      <c r="F57" s="2">
        <f t="shared" si="20"/>
        <v>6.0577066140907263E-4</v>
      </c>
      <c r="G57" s="2">
        <f t="shared" si="21"/>
        <v>0.56960350648500646</v>
      </c>
      <c r="H57">
        <f t="shared" si="22"/>
        <v>0.44781122435682469</v>
      </c>
      <c r="I57">
        <f t="shared" si="17"/>
        <v>0.45399049973954675</v>
      </c>
    </row>
    <row r="58" spans="1:9" x14ac:dyDescent="0.25">
      <c r="A58">
        <v>29</v>
      </c>
      <c r="B58">
        <f t="shared" si="18"/>
        <v>0.50614548307835561</v>
      </c>
      <c r="C58">
        <f t="shared" si="19"/>
        <v>0.48480962024633706</v>
      </c>
      <c r="D58" s="2">
        <f>sigmoid($B58*$S$7-$U$7)</f>
        <v>0.53150686786402213</v>
      </c>
      <c r="E58" s="2">
        <f>sigmoid($B58*$T$7-$U$7)</f>
        <v>0.60376759422167536</v>
      </c>
      <c r="F58" s="2">
        <f t="shared" si="20"/>
        <v>6.0637846307708273E-4</v>
      </c>
      <c r="G58" s="2">
        <f t="shared" si="21"/>
        <v>0.5921561134505382</v>
      </c>
      <c r="H58">
        <f t="shared" si="22"/>
        <v>0.48123968229648434</v>
      </c>
      <c r="I58">
        <f t="shared" si="17"/>
        <v>0.48480962024633706</v>
      </c>
    </row>
    <row r="59" spans="1:9" x14ac:dyDescent="0.25">
      <c r="A59">
        <v>31</v>
      </c>
      <c r="B59">
        <f t="shared" si="18"/>
        <v>0.54105206811824214</v>
      </c>
      <c r="C59">
        <f t="shared" si="19"/>
        <v>0.51503807491005416</v>
      </c>
      <c r="D59" s="2">
        <f>sigmoid($B59*$S$7-$U$7)</f>
        <v>0.53367339179046402</v>
      </c>
      <c r="E59" s="2">
        <f>sigmoid($B59*$T$7-$U$7)</f>
        <v>0.6106953208610888</v>
      </c>
      <c r="F59" s="2">
        <f t="shared" si="20"/>
        <v>6.0698654047956866E-4</v>
      </c>
      <c r="G59" s="2">
        <f t="shared" si="21"/>
        <v>0.61419518589577127</v>
      </c>
      <c r="H59">
        <f t="shared" si="22"/>
        <v>0.51390695696635147</v>
      </c>
      <c r="I59">
        <f t="shared" si="17"/>
        <v>0.51503807491005416</v>
      </c>
    </row>
    <row r="60" spans="1:9" x14ac:dyDescent="0.25">
      <c r="A60">
        <v>33</v>
      </c>
      <c r="B60">
        <f t="shared" si="18"/>
        <v>0.57595865315812877</v>
      </c>
      <c r="C60">
        <f t="shared" si="19"/>
        <v>0.54463903501502708</v>
      </c>
      <c r="D60" s="2">
        <f>sigmoid($B60*$S$7-$U$7)</f>
        <v>0.53583864624368949</v>
      </c>
      <c r="E60" s="2">
        <f>sigmoid($B60*$T$7-$U$7)</f>
        <v>0.61757864229989479</v>
      </c>
      <c r="F60" s="2">
        <f t="shared" si="20"/>
        <v>6.075948704542532E-4</v>
      </c>
      <c r="G60" s="2">
        <f t="shared" si="21"/>
        <v>0.63563913408139738</v>
      </c>
      <c r="H60">
        <f t="shared" si="22"/>
        <v>0.545692112495334</v>
      </c>
      <c r="I60">
        <f t="shared" si="17"/>
        <v>0.54463903501502708</v>
      </c>
    </row>
    <row r="61" spans="1:9" x14ac:dyDescent="0.25">
      <c r="A61">
        <v>35</v>
      </c>
      <c r="B61">
        <f t="shared" si="18"/>
        <v>0.6108652381980153</v>
      </c>
      <c r="C61">
        <f t="shared" si="19"/>
        <v>0.57357643635104605</v>
      </c>
      <c r="D61" s="2">
        <f>sigmoid($B61*$S$7-$U$7)</f>
        <v>0.53800255041159883</v>
      </c>
      <c r="E61" s="2">
        <f>sigmoid($B61*$T$7-$U$7)</f>
        <v>0.62441510897186869</v>
      </c>
      <c r="F61" s="2">
        <f t="shared" si="20"/>
        <v>6.0820342980057933E-4</v>
      </c>
      <c r="G61" s="2">
        <f t="shared" si="21"/>
        <v>0.65641719444762503</v>
      </c>
      <c r="H61">
        <f t="shared" si="22"/>
        <v>0.57649026004793003</v>
      </c>
      <c r="I61">
        <f t="shared" si="17"/>
        <v>0.57357643635104605</v>
      </c>
    </row>
    <row r="62" spans="1:9" x14ac:dyDescent="0.25">
      <c r="A62">
        <v>37</v>
      </c>
      <c r="B62">
        <f t="shared" si="18"/>
        <v>0.64577182323790194</v>
      </c>
      <c r="C62">
        <f t="shared" si="19"/>
        <v>0.60181502315204827</v>
      </c>
      <c r="D62" s="2">
        <f>sigmoid($B62*$S$7-$U$7)</f>
        <v>0.54016502368505903</v>
      </c>
      <c r="E62" s="2">
        <f>sigmoid($B62*$T$7-$U$7)</f>
        <v>0.63120234379116025</v>
      </c>
      <c r="F62" s="2">
        <f t="shared" si="20"/>
        <v>6.0881219528326213E-4</v>
      </c>
      <c r="G62" s="2">
        <f t="shared" si="21"/>
        <v>0.67646996653339242</v>
      </c>
      <c r="H62">
        <f t="shared" si="22"/>
        <v>0.60621335366930862</v>
      </c>
      <c r="I62">
        <f t="shared" si="17"/>
        <v>0.60181502315204827</v>
      </c>
    </row>
    <row r="63" spans="1:9" x14ac:dyDescent="0.25">
      <c r="A63">
        <v>39</v>
      </c>
      <c r="B63">
        <f t="shared" si="18"/>
        <v>0.68067840827778847</v>
      </c>
      <c r="C63">
        <f t="shared" si="19"/>
        <v>0.62932039104983739</v>
      </c>
      <c r="D63" s="2">
        <f>sigmoid($B63*$S$7-$U$7)</f>
        <v>0.54232598566981238</v>
      </c>
      <c r="E63" s="2">
        <f>sigmoid($B63*$T$7-$U$7)</f>
        <v>0.63793804500562046</v>
      </c>
      <c r="F63" s="2">
        <f t="shared" si="20"/>
        <v>6.0942114363585426E-4</v>
      </c>
      <c r="G63" s="2">
        <f t="shared" si="21"/>
        <v>0.69574958832542155</v>
      </c>
      <c r="H63">
        <f t="shared" si="22"/>
        <v>0.63479045019532854</v>
      </c>
      <c r="I63">
        <f t="shared" si="17"/>
        <v>0.62932039104983739</v>
      </c>
    </row>
    <row r="64" spans="1:9" x14ac:dyDescent="0.25">
      <c r="A64">
        <v>41</v>
      </c>
      <c r="B64">
        <f t="shared" si="18"/>
        <v>0.71558499331767511</v>
      </c>
      <c r="C64">
        <f t="shared" si="19"/>
        <v>0.65605902899050728</v>
      </c>
      <c r="D64" s="2">
        <f>sigmoid($B64*$S$7-$U$7)</f>
        <v>0.54448535619831706</v>
      </c>
      <c r="E64" s="2">
        <f>sigmoid($B64*$T$7-$U$7)</f>
        <v>0.64461998881456206</v>
      </c>
      <c r="F64" s="2">
        <f t="shared" si="20"/>
        <v>6.1003025156431388E-4</v>
      </c>
      <c r="G64" s="2">
        <f t="shared" si="21"/>
        <v>0.71421958245325201</v>
      </c>
      <c r="H64">
        <f t="shared" si="22"/>
        <v>0.66216748127610692</v>
      </c>
      <c r="I64">
        <f t="shared" si="17"/>
        <v>0.65605902899050728</v>
      </c>
    </row>
    <row r="65" spans="1:9" x14ac:dyDescent="0.25">
      <c r="A65">
        <v>43</v>
      </c>
      <c r="B65">
        <f t="shared" si="18"/>
        <v>0.75049157835756175</v>
      </c>
      <c r="C65">
        <f t="shared" si="19"/>
        <v>0.68199836006249848</v>
      </c>
      <c r="D65" s="2">
        <f>sigmoid($B65*$S$7-$U$7)</f>
        <v>0.5466430553415158</v>
      </c>
      <c r="E65" s="2">
        <f>sigmoid($B65*$T$7-$U$7)</f>
        <v>0.65124603174681417</v>
      </c>
      <c r="F65" s="2">
        <f t="shared" si="20"/>
        <v>6.1063949575059146E-4</v>
      </c>
      <c r="G65" s="2">
        <f t="shared" si="21"/>
        <v>0.73185441788269479</v>
      </c>
      <c r="H65">
        <f t="shared" si="22"/>
        <v>0.68830660369893448</v>
      </c>
      <c r="I65">
        <f t="shared" si="17"/>
        <v>0.68199836006249848</v>
      </c>
    </row>
    <row r="66" spans="1:9" x14ac:dyDescent="0.25">
      <c r="A66">
        <v>45</v>
      </c>
      <c r="B66">
        <f t="shared" si="18"/>
        <v>0.78539816339744828</v>
      </c>
      <c r="C66">
        <f t="shared" si="19"/>
        <v>0.70710678118654746</v>
      </c>
      <c r="D66" s="2">
        <f>sigmoid($B66*$S$7-$U$7)</f>
        <v>0.54879900342052867</v>
      </c>
      <c r="E66" s="2">
        <f>sigmoid($B66*$T$7-$U$7)</f>
        <v>0.65781411279613222</v>
      </c>
      <c r="F66" s="2">
        <f t="shared" si="20"/>
        <v>6.1124885285621393E-4</v>
      </c>
      <c r="G66" s="2">
        <f t="shared" si="21"/>
        <v>0.74863883938965581</v>
      </c>
      <c r="H66">
        <f t="shared" si="22"/>
        <v>0.71318520550512421</v>
      </c>
      <c r="I66">
        <f t="shared" si="17"/>
        <v>0.70710678118654746</v>
      </c>
    </row>
    <row r="67" spans="1:9" x14ac:dyDescent="0.25">
      <c r="A67">
        <v>47</v>
      </c>
      <c r="B67">
        <f t="shared" si="18"/>
        <v>0.82030474843733492</v>
      </c>
      <c r="C67">
        <f t="shared" si="19"/>
        <v>0.73135370161917046</v>
      </c>
      <c r="D67" s="2">
        <f>sigmoid($B67*$S$7-$U$7)</f>
        <v>0.55095312101826666</v>
      </c>
      <c r="E67" s="2">
        <f>sigmoid($B67*$T$7-$U$7)</f>
        <v>0.66432225531220701</v>
      </c>
      <c r="F67" s="2">
        <f t="shared" si="20"/>
        <v>6.118582995258843E-4</v>
      </c>
      <c r="G67" s="2">
        <f t="shared" si="21"/>
        <v>0.76456702031564261</v>
      </c>
      <c r="H67">
        <f t="shared" si="22"/>
        <v>0.73679465016726087</v>
      </c>
      <c r="I67">
        <f t="shared" si="17"/>
        <v>0.73135370161917046</v>
      </c>
    </row>
    <row r="68" spans="1:9" x14ac:dyDescent="0.25">
      <c r="A68">
        <v>49</v>
      </c>
      <c r="B68">
        <f t="shared" si="18"/>
        <v>0.85521133347722145</v>
      </c>
      <c r="C68">
        <f t="shared" si="19"/>
        <v>0.75470958022277201</v>
      </c>
      <c r="D68" s="2">
        <f>sigmoid($B68*$S$7-$U$7)</f>
        <v>0.55310532899096243</v>
      </c>
      <c r="E68" s="2">
        <f>sigmoid($B68*$T$7-$U$7)</f>
        <v>0.67076856864667789</v>
      </c>
      <c r="F68" s="2">
        <f t="shared" si="20"/>
        <v>6.124678123910803E-4</v>
      </c>
      <c r="G68" s="2">
        <f t="shared" si="21"/>
        <v>0.77964159347572248</v>
      </c>
      <c r="H68">
        <f t="shared" si="22"/>
        <v>0.75913884015869804</v>
      </c>
      <c r="I68">
        <f t="shared" si="17"/>
        <v>0.75470958022277201</v>
      </c>
    </row>
    <row r="69" spans="1:9" x14ac:dyDescent="0.25">
      <c r="A69">
        <v>51</v>
      </c>
      <c r="B69">
        <f t="shared" si="18"/>
        <v>0.89011791851710809</v>
      </c>
      <c r="C69">
        <f t="shared" si="19"/>
        <v>0.7771459614569709</v>
      </c>
      <c r="D69" s="2">
        <f>sigmoid($B69*$S$7-$U$7)</f>
        <v>0.55525554847961511</v>
      </c>
      <c r="E69" s="2">
        <f>sigmoid($B69*$T$7-$U$7)</f>
        <v>0.67715124955468109</v>
      </c>
      <c r="F69" s="2">
        <f t="shared" si="20"/>
        <v>6.1307736807366016E-4</v>
      </c>
      <c r="G69" s="2">
        <f t="shared" si="21"/>
        <v>0.7938726113963761</v>
      </c>
      <c r="H69">
        <f t="shared" si="22"/>
        <v>0.7802326757727438</v>
      </c>
      <c r="I69">
        <f t="shared" si="17"/>
        <v>0.7771459614569709</v>
      </c>
    </row>
    <row r="70" spans="1:9" x14ac:dyDescent="0.25">
      <c r="A70">
        <v>53</v>
      </c>
      <c r="B70">
        <f t="shared" si="18"/>
        <v>0.92502450355699462</v>
      </c>
      <c r="C70">
        <f t="shared" si="19"/>
        <v>0.79863551004729283</v>
      </c>
      <c r="D70" s="2">
        <f>sigmoid($B70*$S$7-$U$7)</f>
        <v>0.55740370092134495</v>
      </c>
      <c r="E70" s="2">
        <f>sigmoid($B70*$T$7-$U$7)</f>
        <v>0.68346858335355321</v>
      </c>
      <c r="F70" s="2">
        <f t="shared" si="20"/>
        <v>6.1368694318947022E-4</v>
      </c>
      <c r="G70" s="2">
        <f t="shared" si="21"/>
        <v>0.80727648118645634</v>
      </c>
      <c r="H70">
        <f t="shared" si="22"/>
        <v>0.80010047634192771</v>
      </c>
      <c r="I70">
        <f t="shared" si="17"/>
        <v>0.79863551004729283</v>
      </c>
    </row>
    <row r="71" spans="1:9" x14ac:dyDescent="0.25">
      <c r="A71">
        <v>55</v>
      </c>
      <c r="B71">
        <f t="shared" si="18"/>
        <v>0.95993108859688125</v>
      </c>
      <c r="C71">
        <f t="shared" si="19"/>
        <v>0.8191520442889918</v>
      </c>
      <c r="D71" s="2">
        <f>sigmoid($B71*$S$7-$U$7)</f>
        <v>0.55954970806065518</v>
      </c>
      <c r="E71" s="2">
        <f>sigmoid($B71*$T$7-$U$7)</f>
        <v>0.68971894484135288</v>
      </c>
      <c r="F71" s="2">
        <f t="shared" si="20"/>
        <v>6.1429651435195574E-4</v>
      </c>
      <c r="G71" s="2">
        <f t="shared" si="21"/>
        <v>0.81987491215493125</v>
      </c>
      <c r="H71">
        <f t="shared" si="22"/>
        <v>0.81877442035110715</v>
      </c>
      <c r="I71">
        <f t="shared" si="17"/>
        <v>0.8191520442889918</v>
      </c>
    </row>
    <row r="72" spans="1:9" x14ac:dyDescent="0.25">
      <c r="A72">
        <v>57</v>
      </c>
      <c r="B72">
        <f t="shared" si="18"/>
        <v>0.99483767363676789</v>
      </c>
      <c r="C72">
        <f t="shared" si="19"/>
        <v>0.83867056794542405</v>
      </c>
      <c r="D72" s="2">
        <f>sigmoid($B72*$S$7-$U$7)</f>
        <v>0.56169349196059715</v>
      </c>
      <c r="E72" s="2">
        <f>sigmoid($B72*$T$7-$U$7)</f>
        <v>0.69590079897885382</v>
      </c>
      <c r="F72" s="2">
        <f t="shared" si="20"/>
        <v>6.1490605817576913E-4</v>
      </c>
      <c r="G72" s="2">
        <f t="shared" si="21"/>
        <v>0.83169390655313902</v>
      </c>
      <c r="H72">
        <f t="shared" si="22"/>
        <v>0.83629304947160743</v>
      </c>
      <c r="I72">
        <f t="shared" si="17"/>
        <v>0.83867056794542405</v>
      </c>
    </row>
    <row r="73" spans="1:9" x14ac:dyDescent="0.25">
      <c r="A73">
        <v>59</v>
      </c>
      <c r="B73">
        <f t="shared" si="18"/>
        <v>1.0297442586766545</v>
      </c>
      <c r="C73">
        <f t="shared" si="19"/>
        <v>0.85716730070211233</v>
      </c>
      <c r="D73" s="2">
        <f>sigmoid($B73*$S$7-$U$7)</f>
        <v>0.56383497501383595</v>
      </c>
      <c r="E73" s="2">
        <f>sigmoid($B73*$T$7-$U$7)</f>
        <v>0.70201270133960025</v>
      </c>
      <c r="F73" s="2">
        <f t="shared" si="20"/>
        <v>6.1551555128038112E-4</v>
      </c>
      <c r="G73" s="2">
        <f t="shared" si="21"/>
        <v>0.84276281616138238</v>
      </c>
      <c r="H73">
        <f t="shared" si="22"/>
        <v>0.85269987019271398</v>
      </c>
      <c r="I73">
        <f t="shared" si="17"/>
        <v>0.85716730070211233</v>
      </c>
    </row>
    <row r="74" spans="1:9" x14ac:dyDescent="0.25">
      <c r="A74">
        <v>61</v>
      </c>
      <c r="B74">
        <f t="shared" si="18"/>
        <v>1.064650843716541</v>
      </c>
      <c r="C74">
        <f t="shared" si="19"/>
        <v>0.87461970713939574</v>
      </c>
      <c r="D74" s="2">
        <f>sigmoid($B74*$S$7-$U$7)</f>
        <v>0.56597407995361249</v>
      </c>
      <c r="E74" s="2">
        <f>sigmoid($B74*$T$7-$U$7)</f>
        <v>0.70805329833348551</v>
      </c>
      <c r="F74" s="2">
        <f t="shared" si="20"/>
        <v>6.1612497029368807E-4</v>
      </c>
      <c r="G74" s="2">
        <f t="shared" si="21"/>
        <v>0.85311348032083223</v>
      </c>
      <c r="H74">
        <f t="shared" si="22"/>
        <v>0.86804207617495499</v>
      </c>
      <c r="I74">
        <f t="shared" si="17"/>
        <v>0.87461970713939574</v>
      </c>
    </row>
    <row r="75" spans="1:9" x14ac:dyDescent="0.25">
      <c r="A75">
        <v>63</v>
      </c>
      <c r="B75">
        <f t="shared" si="18"/>
        <v>1.0995574287564276</v>
      </c>
      <c r="C75">
        <f t="shared" si="19"/>
        <v>0.89100652418836779</v>
      </c>
      <c r="D75" s="2">
        <f>sigmoid($B75*$S$7-$U$7)</f>
        <v>0.56811072986459987</v>
      </c>
      <c r="E75" s="2">
        <f>sigmoid($B75*$T$7-$U$7)</f>
        <v>0.71402132721012901</v>
      </c>
      <c r="F75" s="2">
        <f t="shared" si="20"/>
        <v>6.1673429185561711E-4</v>
      </c>
      <c r="G75" s="2">
        <f t="shared" si="21"/>
        <v>0.86277945473343354</v>
      </c>
      <c r="H75">
        <f t="shared" si="22"/>
        <v>0.88236940514367723</v>
      </c>
      <c r="I75">
        <f>SIN(B75)</f>
        <v>0.89100652418836779</v>
      </c>
    </row>
    <row r="76" spans="1:9" x14ac:dyDescent="0.25">
      <c r="A76">
        <v>65</v>
      </c>
      <c r="B76">
        <f t="shared" si="18"/>
        <v>1.1344640137963142</v>
      </c>
      <c r="C76">
        <f t="shared" si="19"/>
        <v>0.90630778703664994</v>
      </c>
      <c r="D76" s="2">
        <f>sigmoid($B76*$S$7-$U$7)</f>
        <v>0.57024484819365062</v>
      </c>
      <c r="E76" s="2">
        <f>sigmoid($B76*$T$7-$U$7)</f>
        <v>0.71991561584906505</v>
      </c>
      <c r="F76" s="2">
        <f t="shared" si="20"/>
        <v>6.1734349262172468E-4</v>
      </c>
      <c r="G76" s="2">
        <f t="shared" si="21"/>
        <v>0.8717953350757448</v>
      </c>
      <c r="H76">
        <f t="shared" si="22"/>
        <v>0.89573313631997009</v>
      </c>
      <c r="I76">
        <f>SIN(B76)</f>
        <v>0.90630778703664994</v>
      </c>
    </row>
    <row r="77" spans="1:9" x14ac:dyDescent="0.25">
      <c r="A77">
        <v>67</v>
      </c>
      <c r="B77">
        <f t="shared" si="18"/>
        <v>1.1693705988362009</v>
      </c>
      <c r="C77">
        <f t="shared" si="19"/>
        <v>0.92050485345244037</v>
      </c>
      <c r="D77" s="2">
        <f>sigmoid($B77*$S$7-$U$7)</f>
        <v>0.57237635876043014</v>
      </c>
      <c r="E77" s="2">
        <f>sigmoid($B77*$T$7-$U$7)</f>
        <v>0.72573508234443296</v>
      </c>
      <c r="F77" s="2">
        <f t="shared" si="20"/>
        <v>6.1795254926679498E-4</v>
      </c>
      <c r="G77" s="2">
        <f t="shared" si="21"/>
        <v>0.88019617524480842</v>
      </c>
      <c r="H77">
        <f t="shared" si="22"/>
        <v>0.90818522811931501</v>
      </c>
      <c r="I77">
        <f t="shared" ref="I77:I83" si="23">SIN(B77)</f>
        <v>0.92050485345244037</v>
      </c>
    </row>
    <row r="78" spans="1:9" x14ac:dyDescent="0.25">
      <c r="A78">
        <v>69</v>
      </c>
      <c r="B78">
        <f t="shared" ref="B78:B83" si="24">RADIANS(A78)</f>
        <v>1.2042771838760873</v>
      </c>
      <c r="C78">
        <f t="shared" ref="C78:C83" si="25">SIN(B78)</f>
        <v>0.93358042649720174</v>
      </c>
      <c r="D78" s="2">
        <f>sigmoid($B78*$S$7-$U$7)</f>
        <v>0.57450518576793641</v>
      </c>
      <c r="E78" s="2">
        <f>sigmoid($B78*$T$7-$U$7)</f>
        <v>0.73147873439245625</v>
      </c>
      <c r="F78" s="2">
        <f t="shared" ref="F78:F83" si="26">sigmoid((D78*$S$10)+(D78*$T$10)-$U$10)</f>
        <v>6.1856143848842483E-4</v>
      </c>
      <c r="G78" s="2">
        <f t="shared" ref="G78:G83" si="27">sigmoid((E78*$S$13)+(E78*$T$13)-$U$10)</f>
        <v>0.88801699683874535</v>
      </c>
      <c r="H78">
        <f t="shared" ref="H78:H83" si="28">((F78*$S$16)+(G78*$T$16))-$U$16</f>
        <v>0.91977759108232271</v>
      </c>
      <c r="I78">
        <f t="shared" si="23"/>
        <v>0.93358042649720174</v>
      </c>
    </row>
    <row r="79" spans="1:9" x14ac:dyDescent="0.25">
      <c r="A79">
        <v>71</v>
      </c>
      <c r="B79">
        <f t="shared" si="24"/>
        <v>1.2391837689159739</v>
      </c>
      <c r="C79">
        <f t="shared" si="25"/>
        <v>0.94551857559931674</v>
      </c>
      <c r="D79" s="2">
        <f>sigmoid($B79*$S$7-$U$7)</f>
        <v>0.57663125381290015</v>
      </c>
      <c r="E79" s="2">
        <f>sigmoid($B79*$T$7-$U$7)</f>
        <v>0.73714566849053098</v>
      </c>
      <c r="F79" s="2">
        <f t="shared" si="26"/>
        <v>6.1917013701060658E-4</v>
      </c>
      <c r="G79" s="2">
        <f t="shared" si="27"/>
        <v>0.89529238417928836</v>
      </c>
      <c r="H79">
        <f t="shared" si="28"/>
        <v>0.930561487599465</v>
      </c>
      <c r="I79">
        <f t="shared" si="23"/>
        <v>0.94551857559931674</v>
      </c>
    </row>
    <row r="80" spans="1:9" x14ac:dyDescent="0.25">
      <c r="A80">
        <v>73</v>
      </c>
      <c r="B80">
        <f t="shared" si="24"/>
        <v>1.2740903539558606</v>
      </c>
      <c r="C80">
        <f t="shared" si="25"/>
        <v>0.95630475596303544</v>
      </c>
      <c r="D80" s="2">
        <f>sigmoid($B80*$S$7-$U$7)</f>
        <v>0.5787544878960641</v>
      </c>
      <c r="E80" s="2">
        <f>sigmoid($B80*$T$7-$U$7)</f>
        <v>0.74273506895719865</v>
      </c>
      <c r="F80" s="2">
        <f t="shared" si="26"/>
        <v>6.1977862158730005E-4</v>
      </c>
      <c r="G80" s="2">
        <f t="shared" si="27"/>
        <v>0.90205615768345748</v>
      </c>
      <c r="H80">
        <f t="shared" si="28"/>
        <v>0.94058704776832092</v>
      </c>
      <c r="I80">
        <f t="shared" si="23"/>
        <v>0.95630475596303544</v>
      </c>
    </row>
    <row r="81" spans="1:9" x14ac:dyDescent="0.25">
      <c r="A81">
        <v>75</v>
      </c>
      <c r="B81">
        <f t="shared" si="24"/>
        <v>1.3089969389957472</v>
      </c>
      <c r="C81">
        <f t="shared" si="25"/>
        <v>0.96592582628906831</v>
      </c>
      <c r="D81" s="2">
        <f>sigmoid($B81*$S$7-$U$7)</f>
        <v>0.58087481343233782</v>
      </c>
      <c r="E81" s="2">
        <f>sigmoid($B81*$T$7-$U$7)</f>
        <v>0.7482462067826654</v>
      </c>
      <c r="F81" s="2">
        <f t="shared" si="26"/>
        <v>6.2038686900599185E-4</v>
      </c>
      <c r="G81" s="2">
        <f t="shared" si="27"/>
        <v>0.90834111754963864</v>
      </c>
      <c r="H81">
        <f t="shared" si="28"/>
        <v>0.94990288947390233</v>
      </c>
      <c r="I81">
        <f t="shared" si="23"/>
        <v>0.96592582628906831</v>
      </c>
    </row>
    <row r="82" spans="1:9" x14ac:dyDescent="0.25">
      <c r="A82">
        <v>77</v>
      </c>
      <c r="B82">
        <f t="shared" si="24"/>
        <v>1.3439035240356338</v>
      </c>
      <c r="C82">
        <f t="shared" si="25"/>
        <v>0.97437006478523525</v>
      </c>
      <c r="D82" s="2">
        <f>sigmoid($B82*$S$7-$U$7)</f>
        <v>0.58299215626082579</v>
      </c>
      <c r="E82" s="2">
        <f>sigmoid($B82*$T$7-$U$7)</f>
        <v>0.75367843831984527</v>
      </c>
      <c r="F82" s="2">
        <f t="shared" si="26"/>
        <v>6.2099485609124914E-4</v>
      </c>
      <c r="G82" s="2">
        <f t="shared" si="27"/>
        <v>0.91417884940284888</v>
      </c>
      <c r="H82">
        <f t="shared" si="28"/>
        <v>0.95855583030758518</v>
      </c>
      <c r="I82">
        <f t="shared" si="23"/>
        <v>0.97437006478523525</v>
      </c>
    </row>
    <row r="83" spans="1:9" x14ac:dyDescent="0.25">
      <c r="A83">
        <v>79</v>
      </c>
      <c r="B83">
        <f t="shared" si="24"/>
        <v>1.3788101090755203</v>
      </c>
      <c r="C83">
        <f t="shared" si="25"/>
        <v>0.98162718344766398</v>
      </c>
      <c r="D83" s="2">
        <f>sigmoid($B83*$S$7-$U$7)</f>
        <v>0.58510644265472622</v>
      </c>
      <c r="E83" s="2">
        <f>sigmoid($B83*$T$7-$U$7)</f>
        <v>0.75903120382614864</v>
      </c>
      <c r="F83" s="2">
        <f t="shared" si="26"/>
        <v>6.2160255970825507E-4</v>
      </c>
      <c r="G83" s="2">
        <f t="shared" si="27"/>
        <v>0.91959958361841276</v>
      </c>
      <c r="H83">
        <f t="shared" si="28"/>
        <v>0.96659067905052654</v>
      </c>
      <c r="I83">
        <f t="shared" si="23"/>
        <v>0.98162718344766398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19:P24"/>
  <sheetViews>
    <sheetView workbookViewId="0">
      <selection activeCell="P19" sqref="P19"/>
    </sheetView>
  </sheetViews>
  <sheetFormatPr defaultRowHeight="15" x14ac:dyDescent="0.25"/>
  <sheetData>
    <row r="19" spans="10:16" x14ac:dyDescent="0.25">
      <c r="P19" t="s">
        <v>20</v>
      </c>
    </row>
    <row r="24" spans="10:16" x14ac:dyDescent="0.25">
      <c r="J24" t="s">
        <v>13</v>
      </c>
      <c r="N24" t="s">
        <v>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ANN Pic</vt:lpstr>
      <vt:lpstr>Sheet3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Potturi, Sreedhar</dc:creator>
  <cp:lastModifiedBy>Potturi, Sreedhar</cp:lastModifiedBy>
  <dcterms:created xsi:type="dcterms:W3CDTF">2017-01-19T15:46:39Z</dcterms:created>
  <dcterms:modified xsi:type="dcterms:W3CDTF">2017-01-27T17:42:49Z</dcterms:modified>
</cp:coreProperties>
</file>